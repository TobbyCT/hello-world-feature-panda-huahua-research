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e195dc3d2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总览" sheetId="1" r:id="R4f2f0b40d3fb41be"/>
    <x:sheet xmlns:r="http://schemas.openxmlformats.org/officeDocument/2006/relationships" name="硬件BOM" sheetId="2" r:id="R850456bc3d594881"/>
    <x:sheet xmlns:r="http://schemas.openxmlformats.org/officeDocument/2006/relationships" name="工程调试" sheetId="3" r:id="R4a6be02f15d84af2"/>
    <x:sheet xmlns:r="http://schemas.openxmlformats.org/officeDocument/2006/relationships" name="可选升级" sheetId="4" r:id="Rae8dae526ffe48a0"/>
    <x:sheet xmlns:r="http://schemas.openxmlformats.org/officeDocument/2006/relationships" name="假设与来源" sheetId="5" r:id="R7cb08a406ee2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6"/>
      <x:color rgb="FFFFFFFF"/>
      <x:name val="Microsoft YaHe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2" borderId="0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3" borderId="0" xfId="0" applyNumberFormat="1" applyFont="1" applyFill="0" applyBorder="1"/>
    <x:xf numFmtId="0" fontId="4" fillId="0" borderId="0" xfId="0" applyNumberFormat="1" applyFont="1" applyFill="1" applyBorder="1"/>
    <x:xf numFmtId="0" fontId="3" borderId="2" xfId="0" applyNumberFormat="1" applyFont="1" applyFill="0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0" fontId="3" borderId="0" xfId="0" applyNumberFormat="1" applyFont="1" applyFill="0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a2efc45ef4fc8" /><Relationship Type="http://schemas.openxmlformats.org/officeDocument/2006/relationships/theme" Target="/xl/theme/theme1.xml" Id="R5e82d5d6ec5948a4" /><Relationship Type="http://schemas.openxmlformats.org/officeDocument/2006/relationships/sharedStrings" Target="/xl/sharedStrings.xml" Id="R493a153e6cd24cd9" /><Relationship Type="http://schemas.openxmlformats.org/officeDocument/2006/relationships/worksheet" Target="/xl/worksheets/sheet1.xml" Id="R4f2f0b40d3fb41be" /><Relationship Type="http://schemas.openxmlformats.org/officeDocument/2006/relationships/worksheet" Target="/xl/worksheets/sheet2.xml" Id="R850456bc3d594881" /><Relationship Type="http://schemas.openxmlformats.org/officeDocument/2006/relationships/worksheet" Target="/xl/worksheets/sheet3.xml" Id="R4a6be02f15d84af2" /><Relationship Type="http://schemas.openxmlformats.org/officeDocument/2006/relationships/worksheet" Target="/xl/worksheets/sheet4.xml" Id="Rae8dae526ffe48a0" /><Relationship Type="http://schemas.openxmlformats.org/officeDocument/2006/relationships/worksheet" Target="/xl/worksheets/sheet5.xml" Id="R7cb08a406ee24a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</x:cols>
  <x:sheetData>
    <x:row r="1">
      <x:c r="A1" s="18" t="str">
        <x:v>熊猫花花仿生机器人初期 Demo BOM 与报价建议</x:v>
      </x:c>
      <x:c r="B1" s="17" t="str"/>
      <x:c r="C1" s="17" t="str"/>
      <x:c r="D1" s="17" t="str"/>
      <x:c r="E1" s="17" t="str"/>
      <x:c r="F1" s="17" t="str"/>
      <x:c r="G1" s="17" t="str"/>
    </x:row>
    <x:row r="2">
      <x:c r="A2" s="17"/>
      <x:c r="B2" s="17"/>
      <x:c r="C2" s="17"/>
      <x:c r="D2" s="17"/>
      <x:c r="E2" s="17"/>
      <x:c r="F2" s="17"/>
      <x:c r="G2" s="17"/>
    </x:row>
    <x:row r="3">
      <x:c r="A3" s="13" t="str">
        <x:v>口径</x:v>
      </x:c>
      <x:c r="B3" s="13" t="str">
        <x:v>建议金额</x:v>
      </x:c>
      <x:c r="C3" s="13" t="str">
        <x:v>适用说明</x:v>
      </x:c>
      <x:c r="D3" s="13" t="str">
        <x:v>备注</x:v>
      </x:c>
      <x:c r="E3" s="17"/>
      <x:c r="F3" s="17"/>
      <x:c r="G3" s="17"/>
    </x:row>
    <x:row r="4">
      <x:c r="A4" s="14" t="str">
        <x:v>纯物料采购成本</x:v>
      </x:c>
      <x:c r="B4" s="14" t="str">
        <x:v>约 1,500 - 5,500 元</x:v>
      </x:c>
      <x:c r="C4" s="14" t="str">
        <x:v>只含电子、舵机、玩偶、打印件和杂项</x:v>
      </x:c>
      <x:c r="D4" s="14" t="str">
        <x:v>不含人工调试</x:v>
      </x:c>
      <x:c r="E4" s="17"/>
      <x:c r="F4" s="17"/>
      <x:c r="G4" s="17"/>
    </x:row>
    <x:row r="5">
      <x:c r="A5" s="14" t="str">
        <x:v>自研自装 Demo 成本</x:v>
      </x:c>
      <x:c r="B5" s="14" t="str">
        <x:v>约 5,000 - 10,000 元</x:v>
      </x:c>
      <x:c r="C5" s="14" t="str">
        <x:v>自己装配调试，只外包少量打印/缝制</x:v>
      </x:c>
      <x:c r="D5" s="14" t="str">
        <x:v>适合内部验证</x:v>
      </x:c>
      <x:c r="E5" s="17"/>
      <x:c r="F5" s="17"/>
      <x:c r="G5" s="17"/>
    </x:row>
    <x:row r="6">
      <x:c r="A6" s="14" t="str">
        <x:v>可对外展示样机报价</x:v>
      </x:c>
      <x:c r="B6" s="14" t="str">
        <x:v>建议 20,000 - 30,000 元</x:v>
      </x:c>
      <x:c r="C6" s="14" t="str">
        <x:v>含结构改造、动作标定、语音、演示脚本、返工余量</x:v>
      </x:c>
      <x:c r="D6" s="14" t="str">
        <x:v>推荐投资人沟通口径</x:v>
      </x:c>
      <x:c r="E6" s="17"/>
      <x:c r="F6" s="17"/>
      <x:c r="G6" s="17"/>
    </x:row>
    <x:row r="7">
      <x:c r="A7" s="14" t="str">
        <x:v>更稳妥投资人预算</x:v>
      </x:c>
      <x:c r="B7" s="14" t="str">
        <x:v>建议写 30,000 元 / 台</x:v>
      </x:c>
      <x:c r="C7" s="14" t="str">
        <x:v>包含 15%-25% 风险余量</x:v>
      </x:c>
      <x:c r="D7" s="14" t="str">
        <x:v>不含 IP 授权、开模、认证</x:v>
      </x:c>
      <x:c r="E7" s="17"/>
      <x:c r="F7" s="17"/>
      <x:c r="G7" s="17"/>
    </x:row>
    <x:row r="8">
      <x:c r="A8" s="17"/>
      <x:c r="B8" s="17"/>
      <x:c r="C8" s="17"/>
      <x:c r="D8" s="17"/>
      <x:c r="E8" s="17"/>
      <x:c r="F8" s="17"/>
      <x:c r="G8" s="17"/>
    </x:row>
    <x:row r="9">
      <x:c r="A9" s="13" t="str">
        <x:v>总预算模型</x:v>
      </x:c>
      <x:c r="B9" s="13" t="str">
        <x:v>低</x:v>
      </x:c>
      <x:c r="C9" s="13" t="str">
        <x:v>建议</x:v>
      </x:c>
      <x:c r="D9" s="13" t="str">
        <x:v>高</x:v>
      </x:c>
      <x:c r="E9" s="17"/>
      <x:c r="F9" s="17"/>
      <x:c r="G9" s="17"/>
    </x:row>
    <x:row r="10">
      <x:c r="A10" s="14" t="str">
        <x:v>硬件物料</x:v>
      </x:c>
      <x:c r="B10" s="15" t="n">
        <x:f>'硬件BOM'!F23</x:f>
        <x:v>1471</x:v>
      </x:c>
      <x:c r="C10" s="15" t="n">
        <x:f>'硬件BOM'!G23</x:f>
        <x:v>2915</x:v>
      </x:c>
      <x:c r="D10" s="15" t="n">
        <x:f>'硬件BOM'!H23</x:f>
        <x:v>5645</x:v>
      </x:c>
      <x:c r="E10" s="17"/>
      <x:c r="F10" s="17"/>
      <x:c r="G10" s="17"/>
    </x:row>
    <x:row r="11">
      <x:c r="A11" s="14" t="str">
        <x:v>工程与调试</x:v>
      </x:c>
      <x:c r="B11" s="15" t="n">
        <x:f>'工程调试'!E10</x:f>
        <x:v>8400</x:v>
      </x:c>
      <x:c r="C11" s="15" t="n">
        <x:f>'工程调试'!F10</x:f>
        <x:v>17100</x:v>
      </x:c>
      <x:c r="D11" s="15" t="n">
        <x:f>'工程调试'!G10</x:f>
        <x:v>34000</x:v>
      </x:c>
      <x:c r="E11" s="17"/>
      <x:c r="F11" s="17"/>
      <x:c r="G11" s="17"/>
    </x:row>
    <x:row r="12">
      <x:c r="A12" s="14" t="str">
        <x:v>小计</x:v>
      </x:c>
      <x:c r="B12" s="15" t="n">
        <x:f>B10+B11</x:f>
        <x:v>9871</x:v>
      </x:c>
      <x:c r="C12" s="15" t="n">
        <x:f>C10+C11</x:f>
        <x:v>20015</x:v>
      </x:c>
      <x:c r="D12" s="15" t="n">
        <x:f>D10+D11</x:f>
        <x:v>39645</x:v>
      </x:c>
      <x:c r="E12" s="17"/>
      <x:c r="F12" s="17"/>
      <x:c r="G12" s="17"/>
    </x:row>
    <x:row r="13">
      <x:c r="A13" s="14" t="str">
        <x:v>风险余量 20%</x:v>
      </x:c>
      <x:c r="B13" s="15" t="n">
        <x:f>B12*20%</x:f>
        <x:v>1974.2</x:v>
      </x:c>
      <x:c r="C13" s="15" t="n">
        <x:f>C12*20%</x:f>
        <x:v>4003</x:v>
      </x:c>
      <x:c r="D13" s="15" t="n">
        <x:f>D12*20%</x:f>
        <x:v>7929</x:v>
      </x:c>
      <x:c r="E13" s="17"/>
      <x:c r="F13" s="17"/>
      <x:c r="G13" s="17"/>
    </x:row>
    <x:row r="14">
      <x:c r="A14" s="14" t="str">
        <x:v>Demo 总预算</x:v>
      </x:c>
      <x:c r="B14" s="15" t="n">
        <x:f>B12+B13</x:f>
        <x:v>11845.2</x:v>
      </x:c>
      <x:c r="C14" s="15" t="n">
        <x:f>C12+C13</x:f>
        <x:v>24018</x:v>
      </x:c>
      <x:c r="D14" s="15" t="n">
        <x:f>D12+D13</x:f>
        <x:v>47574</x:v>
      </x:c>
      <x:c r="E14" s="17"/>
      <x:c r="F14" s="17"/>
      <x:c r="G14" s="17"/>
    </x:row>
    <x:row r="15">
      <x:c r="A15" s="17"/>
      <x:c r="B15" s="17"/>
      <x:c r="C15" s="17"/>
      <x:c r="D15" s="17"/>
      <x:c r="E15" s="17"/>
      <x:c r="F15" s="17"/>
      <x:c r="G15" s="17"/>
    </x:row>
    <x:row r="16">
      <x:c r="A16" s="16" t="str">
        <x:v>给投资人的建议表述</x:v>
      </x:c>
      <x:c r="B16" s="17" t="str"/>
      <x:c r="C16" s="17" t="str"/>
      <x:c r="D16" s="17" t="str"/>
      <x:c r="E16" s="17" t="str"/>
      <x:c r="F16" s="17" t="str"/>
      <x:c r="G16" s="17" t="str"/>
    </x:row>
    <x:row r="17">
      <x:c r="A17" s="14" t="str">
        <x:v>首台 Demo 样机预算建议按 3 万元/台规划。硬件物料本身约 3,000-5,000 元，但可对外展示的一台样机主要成本在结构返工、装配、舵机标定、动作脚本、语音与现场演示稳定性。该预算不包含 IP 授权、量产开模、正式认证和 App 开发。</x:v>
      </x:c>
      <x:c r="B17" s="14" t="str"/>
      <x:c r="C17" s="14" t="str"/>
      <x:c r="D17" s="14" t="str"/>
      <x:c r="E17" s="14" t="str"/>
      <x:c r="F17" s="14" t="str"/>
      <x:c r="G17" s="14" t="str"/>
    </x:row>
    <x:row r="18">
      <x:c r="A18" s="14" t="str">
        <x:v>优先保留：眼部眨眼、头部点头、摸头回应、预置语音、右前肢挥手。</x:v>
      </x:c>
      <x:c r="B18" s="14" t="str"/>
      <x:c r="C18" s="14" t="str"/>
      <x:c r="D18" s="14" t="str"/>
      <x:c r="E18" s="14" t="str"/>
      <x:c r="F18" s="14" t="str"/>
      <x:c r="G18" s="14" t="str"/>
    </x:row>
    <x:row r="19">
      <x:c r="A19" s="14" t="str">
        <x:v>预算增加时优先升级：眼部静音、头部支架强度、毛绒外观复原、演示视频质量。</x:v>
      </x:c>
      <x:c r="B19" s="14" t="str"/>
      <x:c r="C19" s="14" t="str"/>
      <x:c r="D19" s="14" t="str"/>
      <x:c r="E19" s="14" t="str"/>
      <x:c r="F19" s="14" t="str"/>
      <x:c r="G19" s="14" t="str"/>
    </x:row>
    <x:row r="20">
      <x:c r="A20" s="17" t="str"/>
      <x:c r="B20" s="17" t="str"/>
      <x:c r="C20" s="17" t="str"/>
      <x:c r="D20" s="17" t="str"/>
      <x:c r="E20" s="17" t="str"/>
      <x:c r="F20" s="17" t="str"/>
      <x:c r="G20" s="17" t="str"/>
    </x:row>
  </x:sheetData>
  <x:mergeCells>
    <x:mergeCell ref="A1:G1"/>
    <x:mergeCell ref="A16:G16"/>
    <x:mergeCell ref="A17:G17"/>
    <x:mergeCell ref="A18:G18"/>
    <x:mergeCell ref="A19:G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1.25" hidden="0" customWidth="1"/>
    <x:col min="3" max="3" width="23.75" hidden="0" customWidth="1"/>
    <x:col min="4" max="4" width="27.5" hidden="0" customWidth="1"/>
    <x:col min="5" max="5" width="7.5" hidden="0" customWidth="1"/>
    <x:col min="6" max="6" width="10.630000114440918" hidden="0" customWidth="1"/>
    <x:col min="7" max="7" width="11.25" hidden="0" customWidth="1"/>
    <x:col min="8" max="8" width="10.630000114440918" hidden="0" customWidth="1"/>
    <x:col min="9" max="9" width="11.25" hidden="0" customWidth="1"/>
    <x:col min="10" max="10" width="8.75" hidden="0" customWidth="1"/>
    <x:col min="11" max="11" width="35" hidden="0" customWidth="1"/>
  </x:cols>
  <x:sheetData>
    <x:row r="1">
      <x:c r="A1" s="13" t="str">
        <x:v>编号</x:v>
      </x:c>
      <x:c r="B1" s="13" t="str">
        <x:v>类别</x:v>
      </x:c>
      <x:c r="C1" s="13" t="str">
        <x:v>物料</x:v>
      </x:c>
      <x:c r="D1" s="13" t="str">
        <x:v>推荐规格</x:v>
      </x:c>
      <x:c r="E1" s="13" t="str">
        <x:v>数量</x:v>
      </x:c>
      <x:c r="F1" s="13" t="str">
        <x:v>单价低</x:v>
      </x:c>
      <x:c r="G1" s="13" t="str">
        <x:v>单价建议</x:v>
      </x:c>
      <x:c r="H1" s="13" t="str">
        <x:v>单价高</x:v>
      </x:c>
      <x:c r="I1" s="13" t="str">
        <x:v>建议小计</x:v>
      </x:c>
      <x:c r="J1" s="13" t="str">
        <x:v>必须</x:v>
      </x:c>
      <x:c r="K1" s="13" t="str">
        <x:v>说明</x:v>
      </x:c>
    </x:row>
    <x:row r="2">
      <x:c r="A2" s="14" t="n">
        <x:v>1</x:v>
      </x:c>
      <x:c r="B2" s="14" t="str">
        <x:v>外观</x:v>
      </x:c>
      <x:c r="C2" s="14" t="str">
        <x:v>大号熊猫毛绒玩偶</x:v>
      </x:c>
      <x:c r="D2" s="14" t="str">
        <x:v>45-60cm，头部空间优先</x:v>
      </x:c>
      <x:c r="E2" s="14" t="n">
        <x:v>1</x:v>
      </x:c>
      <x:c r="F2" s="15" t="n">
        <x:v>180</x:v>
      </x:c>
      <x:c r="G2" s="15" t="n">
        <x:v>260</x:v>
      </x:c>
      <x:c r="H2" s="15" t="n">
        <x:v>450</x:v>
      </x:c>
      <x:c r="I2" s="15" t="n">
        <x:f>E2*G2</x:f>
        <x:v>260</x:v>
      </x:c>
      <x:c r="J2" s="14" t="str">
        <x:v>现成玩偶改造，背部开隐藏拉链</x:v>
      </x:c>
      <x:c r="K2" s="14"/>
    </x:row>
    <x:row r="3">
      <x:c r="A3" s="14" t="n">
        <x:v>2</x:v>
      </x:c>
      <x:c r="B3" s="14" t="str">
        <x:v>主控</x:v>
      </x:c>
      <x:c r="C3" s="14" t="str">
        <x:v>ESP32-S3 小智兼容主控板</x:v>
      </x:c>
      <x:c r="D3" s="14" t="str">
        <x:v>带 Wi-Fi，适配 xiaozhi-esp32</x:v>
      </x:c>
      <x:c r="E3" s="14" t="n">
        <x:v>1</x:v>
      </x:c>
      <x:c r="F3" s="15" t="n">
        <x:v>80</x:v>
      </x:c>
      <x:c r="G3" s="15" t="n">
        <x:v>150</x:v>
      </x:c>
      <x:c r="H3" s="15" t="n">
        <x:v>260</x:v>
      </x:c>
      <x:c r="I3" s="15" t="n">
        <x:f>E3*G3</x:f>
        <x:v>150</x:v>
      </x:c>
      <x:c r="J3" s="14" t="str">
        <x:v>可选立创实战派 / ESP32-S3-BOX / 自搭板</x:v>
      </x:c>
      <x:c r="K3" s="14"/>
    </x:row>
    <x:row r="4">
      <x:c r="A4" s="14" t="n">
        <x:v>3</x:v>
      </x:c>
      <x:c r="B4" s="14" t="str">
        <x:v>音频</x:v>
      </x:c>
      <x:c r="C4" s="14" t="str">
        <x:v>INMP441 麦克风模块</x:v>
      </x:c>
      <x:c r="D4" s="14" t="str">
        <x:v>I2S MEMS 麦克风</x:v>
      </x:c>
      <x:c r="E4" s="14" t="n">
        <x:v>1</x:v>
      </x:c>
      <x:c r="F4" s="15" t="n">
        <x:v>8</x:v>
      </x:c>
      <x:c r="G4" s="15" t="n">
        <x:v>15</x:v>
      </x:c>
      <x:c r="H4" s="15" t="n">
        <x:v>30</x:v>
      </x:c>
      <x:c r="I4" s="15" t="n">
        <x:f>E4*G4</x:f>
        <x:v>15</x:v>
      </x:c>
      <x:c r="J4" s="14" t="str">
        <x:v>若主控板已带麦克风可省</x:v>
      </x:c>
      <x:c r="K4" s="14"/>
    </x:row>
    <x:row r="5">
      <x:c r="A5" s="14" t="n">
        <x:v>4</x:v>
      </x:c>
      <x:c r="B5" s="14" t="str">
        <x:v>音频</x:v>
      </x:c>
      <x:c r="C5" s="14" t="str">
        <x:v>MAX98357A 功放模块</x:v>
      </x:c>
      <x:c r="D5" s="14" t="str">
        <x:v>I2S 数字功放</x:v>
      </x:c>
      <x:c r="E5" s="14" t="n">
        <x:v>1</x:v>
      </x:c>
      <x:c r="F5" s="15" t="n">
        <x:v>8</x:v>
      </x:c>
      <x:c r="G5" s="15" t="n">
        <x:v>15</x:v>
      </x:c>
      <x:c r="H5" s="15" t="n">
        <x:v>30</x:v>
      </x:c>
      <x:c r="I5" s="15" t="n">
        <x:f>E5*G5</x:f>
        <x:v>15</x:v>
      </x:c>
      <x:c r="J5" s="14" t="str">
        <x:v>若主控板已带功放可省</x:v>
      </x:c>
      <x:c r="K5" s="14"/>
    </x:row>
    <x:row r="6">
      <x:c r="A6" s="14" t="n">
        <x:v>5</x:v>
      </x:c>
      <x:c r="B6" s="14" t="str">
        <x:v>音频</x:v>
      </x:c>
      <x:c r="C6" s="14" t="str">
        <x:v>扬声器</x:v>
      </x:c>
      <x:c r="D6" s="14" t="str">
        <x:v>4Ω 3W 小喇叭</x:v>
      </x:c>
      <x:c r="E6" s="14" t="n">
        <x:v>1</x:v>
      </x:c>
      <x:c r="F6" s="15" t="n">
        <x:v>12</x:v>
      </x:c>
      <x:c r="G6" s="15" t="n">
        <x:v>25</x:v>
      </x:c>
      <x:c r="H6" s="15" t="n">
        <x:v>45</x:v>
      </x:c>
      <x:c r="I6" s="15" t="n">
        <x:f>E6*G6</x:f>
        <x:v>25</x:v>
      </x:c>
      <x:c r="J6" s="14" t="str">
        <x:v>藏于躯干内部</x:v>
      </x:c>
      <x:c r="K6" s="14"/>
    </x:row>
    <x:row r="7">
      <x:c r="A7" s="14" t="n">
        <x:v>6</x:v>
      </x:c>
      <x:c r="B7" s="14" t="str">
        <x:v>舵机驱动</x:v>
      </x:c>
      <x:c r="C7" s="14" t="str">
        <x:v>PCA9685 16 路 PWM 舵机驱动板</x:v>
      </x:c>
      <x:c r="D7" s="14" t="str">
        <x:v>I2C，16 路 PWM</x:v>
      </x:c>
      <x:c r="E7" s="14" t="n">
        <x:v>1</x:v>
      </x:c>
      <x:c r="F7" s="15" t="n">
        <x:v>15</x:v>
      </x:c>
      <x:c r="G7" s="15" t="n">
        <x:v>25</x:v>
      </x:c>
      <x:c r="H7" s="15" t="n">
        <x:v>110</x:v>
      </x:c>
      <x:c r="I7" s="15" t="n">
        <x:f>E7*G7</x:f>
        <x:v>25</x:v>
      </x:c>
      <x:c r="J7" s="14" t="str">
        <x:v>国产板低价，Adafruit 原版更贵</x:v>
      </x:c>
      <x:c r="K7" s="14"/>
    </x:row>
    <x:row r="8">
      <x:c r="A8" s="14" t="n">
        <x:v>7</x:v>
      </x:c>
      <x:c r="B8" s="14" t="str">
        <x:v>眼部</x:v>
      </x:c>
      <x:c r="C8" s="14" t="str">
        <x:v>微型舵机</x:v>
      </x:c>
      <x:c r="D8" s="14" t="str">
        <x:v>1.7g / 3.7g / SG90 类</x:v>
      </x:c>
      <x:c r="E8" s="14" t="n">
        <x:v>6</x:v>
      </x:c>
      <x:c r="F8" s="15" t="n">
        <x:v>15</x:v>
      </x:c>
      <x:c r="G8" s="15" t="n">
        <x:v>25</x:v>
      </x:c>
      <x:c r="H8" s="15" t="n">
        <x:v>45</x:v>
      </x:c>
      <x:c r="I8" s="15" t="n">
        <x:f>E8*G8</x:f>
        <x:v>150</x:v>
      </x:c>
      <x:c r="J8" s="14" t="str">
        <x:v>仿生眼 X/Y + 眼皮</x:v>
      </x:c>
      <x:c r="K8" s="14"/>
    </x:row>
    <x:row r="9">
      <x:c r="A9" s="14" t="n">
        <x:v>8</x:v>
      </x:c>
      <x:c r="B9" s="14" t="str">
        <x:v>头部</x:v>
      </x:c>
      <x:c r="C9" s="14" t="str">
        <x:v>金属齿舵机</x:v>
      </x:c>
      <x:c r="D9" s="14" t="str">
        <x:v>9g-20g 级，较高扭矩</x:v>
      </x:c>
      <x:c r="E9" s="14" t="n">
        <x:v>2</x:v>
      </x:c>
      <x:c r="F9" s="15" t="n">
        <x:v>45</x:v>
      </x:c>
      <x:c r="G9" s="15" t="n">
        <x:v>75</x:v>
      </x:c>
      <x:c r="H9" s="15" t="n">
        <x:v>120</x:v>
      </x:c>
      <x:c r="I9" s="15" t="n">
        <x:f>E9*G9</x:f>
        <x:v>150</x:v>
      </x:c>
      <x:c r="J9" s="14" t="str">
        <x:v>头部 yaw / pitch</x:v>
      </x:c>
      <x:c r="K9" s="14"/>
    </x:row>
    <x:row r="10">
      <x:c r="A10" s="14" t="n">
        <x:v>9</x:v>
      </x:c>
      <x:c r="B10" s="14" t="str">
        <x:v>前肢</x:v>
      </x:c>
      <x:c r="C10" s="14" t="str">
        <x:v>金属齿微型舵机</x:v>
      </x:c>
      <x:c r="D10" s="14" t="str">
        <x:v>MG90S 或同级</x:v>
      </x:c>
      <x:c r="E10" s="14" t="n">
        <x:v>2</x:v>
      </x:c>
      <x:c r="F10" s="15" t="n">
        <x:v>25</x:v>
      </x:c>
      <x:c r="G10" s="15" t="n">
        <x:v>40</x:v>
      </x:c>
      <x:c r="H10" s="15" t="n">
        <x:v>70</x:v>
      </x:c>
      <x:c r="I10" s="15" t="n">
        <x:f>E10*G10</x:f>
        <x:v>80</x:v>
      </x:c>
      <x:c r="J10" s="14" t="str">
        <x:v>可先只启用右前肢</x:v>
      </x:c>
      <x:c r="K10" s="14"/>
    </x:row>
    <x:row r="11">
      <x:c r="A11" s="14" t="n">
        <x:v>10</x:v>
      </x:c>
      <x:c r="B11" s="14" t="str">
        <x:v>触摸</x:v>
      </x:c>
      <x:c r="C11" s="14" t="str">
        <x:v>头部触摸传感器</x:v>
      </x:c>
      <x:c r="D11" s="14" t="str">
        <x:v>TTP223 / FSR 薄膜压力</x:v>
      </x:c>
      <x:c r="E11" s="14" t="n">
        <x:v>1</x:v>
      </x:c>
      <x:c r="F11" s="15" t="n">
        <x:v>8</x:v>
      </x:c>
      <x:c r="G11" s="15" t="n">
        <x:v>20</x:v>
      </x:c>
      <x:c r="H11" s="15" t="n">
        <x:v>60</x:v>
      </x:c>
      <x:c r="I11" s="15" t="n">
        <x:f>E11*G11</x:f>
        <x:v>20</x:v>
      </x:c>
      <x:c r="J11" s="14" t="str">
        <x:v>毛绒厚度可能影响灵敏度</x:v>
      </x:c>
      <x:c r="K11" s="14"/>
    </x:row>
    <x:row r="12">
      <x:c r="A12" s="14" t="n">
        <x:v>11</x:v>
      </x:c>
      <x:c r="B12" s="14" t="str">
        <x:v>电源</x:v>
      </x:c>
      <x:c r="C12" s="14" t="str">
        <x:v>5V 外接电源</x:v>
      </x:c>
      <x:c r="D12" s="14" t="str">
        <x:v>5V 4A USB / DC 适配器</x:v>
      </x:c>
      <x:c r="E12" s="14" t="n">
        <x:v>1</x:v>
      </x:c>
      <x:c r="F12" s="15" t="n">
        <x:v>35</x:v>
      </x:c>
      <x:c r="G12" s="15" t="n">
        <x:v>65</x:v>
      </x:c>
      <x:c r="H12" s="15" t="n">
        <x:v>120</x:v>
      </x:c>
      <x:c r="I12" s="15" t="n">
        <x:f>E12*G12</x:f>
        <x:v>65</x:v>
      </x:c>
      <x:c r="J12" s="14" t="str">
        <x:v>Demo 优先外接供电</x:v>
      </x:c>
      <x:c r="K12" s="14"/>
    </x:row>
    <x:row r="13">
      <x:c r="A13" s="14" t="n">
        <x:v>12</x:v>
      </x:c>
      <x:c r="B13" s="14" t="str">
        <x:v>电源</x:v>
      </x:c>
      <x:c r="C13" s="14" t="str">
        <x:v>降压 / 保险 / 开关</x:v>
      </x:c>
      <x:c r="D13" s="14" t="str">
        <x:v>DC-DC、保险丝、隐藏开关</x:v>
      </x:c>
      <x:c r="E13" s="14" t="n">
        <x:v>1</x:v>
      </x:c>
      <x:c r="F13" s="15" t="n">
        <x:v>25</x:v>
      </x:c>
      <x:c r="G13" s="15" t="n">
        <x:v>60</x:v>
      </x:c>
      <x:c r="H13" s="15" t="n">
        <x:v>120</x:v>
      </x:c>
      <x:c r="I13" s="15" t="n">
        <x:f>E13*G13</x:f>
        <x:v>60</x:v>
      </x:c>
      <x:c r="J13" s="14" t="str">
        <x:v>避免舵机拉电导致重启</x:v>
      </x:c>
      <x:c r="K13" s="14"/>
    </x:row>
    <x:row r="14">
      <x:c r="A14" s="14" t="n">
        <x:v>13</x:v>
      </x:c>
      <x:c r="B14" s="14" t="str">
        <x:v>眼部结构</x:v>
      </x:c>
      <x:c r="C14" s="14" t="str">
        <x:v>仿生眼 3D 打印件</x:v>
      </x:c>
      <x:c r="D14" s="14" t="str">
        <x:v>Cogley / 简化双眼机构</x:v>
      </x:c>
      <x:c r="E14" s="14" t="n">
        <x:v>1</x:v>
      </x:c>
      <x:c r="F14" s="15" t="n">
        <x:v>120</x:v>
      </x:c>
      <x:c r="G14" s="15" t="n">
        <x:v>260</x:v>
      </x:c>
      <x:c r="H14" s="15" t="n">
        <x:v>500</x:v>
      </x:c>
      <x:c r="I14" s="15" t="n">
        <x:f>E14*G14</x:f>
        <x:v>260</x:v>
      </x:c>
      <x:c r="J14" s="14" t="str">
        <x:v>建议预留一次返工</x:v>
      </x:c>
      <x:c r="K14" s="14"/>
    </x:row>
    <x:row r="15">
      <x:c r="A15" s="14" t="n">
        <x:v>14</x:v>
      </x:c>
      <x:c r="B15" s="14" t="str">
        <x:v>内骨架</x:v>
      </x:c>
      <x:c r="C15" s="14" t="str">
        <x:v>内部支架 / 舵机座</x:v>
      </x:c>
      <x:c r="D15" s="14" t="str">
        <x:v>3D 打印 / 亚克力 / 铝件混合</x:v>
      </x:c>
      <x:c r="E15" s="14" t="n">
        <x:v>1</x:v>
      </x:c>
      <x:c r="F15" s="15" t="n">
        <x:v>200</x:v>
      </x:c>
      <x:c r="G15" s="15" t="n">
        <x:v>450</x:v>
      </x:c>
      <x:c r="H15" s="15" t="n">
        <x:v>900</x:v>
      </x:c>
      <x:c r="I15" s="15" t="n">
        <x:f>E15*G15</x:f>
        <x:v>450</x:v>
      </x:c>
      <x:c r="J15" s="14" t="str">
        <x:v>头部、躯干、前肢安装基础</x:v>
      </x:c>
      <x:c r="K15" s="14"/>
    </x:row>
    <x:row r="16">
      <x:c r="A16" s="14" t="n">
        <x:v>15</x:v>
      </x:c>
      <x:c r="B16" s="14" t="str">
        <x:v>传动件</x:v>
      </x:c>
      <x:c r="C16" s="14" t="str">
        <x:v>连杆 / 球头 / 螺丝</x:v>
      </x:c>
      <x:c r="D16" s="14" t="str">
        <x:v>M2/M3、舵机臂、铜柱</x:v>
      </x:c>
      <x:c r="E16" s="14" t="n">
        <x:v>1</x:v>
      </x:c>
      <x:c r="F16" s="15" t="n">
        <x:v>80</x:v>
      </x:c>
      <x:c r="G16" s="15" t="n">
        <x:v>160</x:v>
      </x:c>
      <x:c r="H16" s="15" t="n">
        <x:v>300</x:v>
      </x:c>
      <x:c r="I16" s="15" t="n">
        <x:f>E16*G16</x:f>
        <x:v>160</x:v>
      </x:c>
      <x:c r="J16" s="14" t="str">
        <x:v>眼部和前肢联动</x:v>
      </x:c>
      <x:c r="K16" s="14"/>
    </x:row>
    <x:row r="17">
      <x:c r="A17" s="14" t="n">
        <x:v>16</x:v>
      </x:c>
      <x:c r="B17" s="14" t="str">
        <x:v>线材</x:v>
      </x:c>
      <x:c r="C17" s="14" t="str">
        <x:v>杜邦线 / JST / 排线</x:v>
      </x:c>
      <x:c r="D17" s="14" t="str">
        <x:v>舵机延长线、端子、热缩管</x:v>
      </x:c>
      <x:c r="E17" s="14" t="n">
        <x:v>1</x:v>
      </x:c>
      <x:c r="F17" s="15" t="n">
        <x:v>60</x:v>
      </x:c>
      <x:c r="G17" s="15" t="n">
        <x:v>120</x:v>
      </x:c>
      <x:c r="H17" s="15" t="n">
        <x:v>220</x:v>
      </x:c>
      <x:c r="I17" s="15" t="n">
        <x:f>E17*G17</x:f>
        <x:v>120</x:v>
      </x:c>
      <x:c r="J17" s="14" t="str">
        <x:v>单台样机建议多备</x:v>
      </x:c>
      <x:c r="K17" s="14"/>
    </x:row>
    <x:row r="18">
      <x:c r="A18" s="14" t="n">
        <x:v>17</x:v>
      </x:c>
      <x:c r="B18" s="14" t="str">
        <x:v>外观改造</x:v>
      </x:c>
      <x:c r="C18" s="14" t="str">
        <x:v>拉链 / 魔术贴 / 海绵 / 胶</x:v>
      </x:c>
      <x:c r="D18" s="14" t="str">
        <x:v>结构包覆与维修口</x:v>
      </x:c>
      <x:c r="E18" s="14" t="n">
        <x:v>1</x:v>
      </x:c>
      <x:c r="F18" s="15" t="n">
        <x:v>80</x:v>
      </x:c>
      <x:c r="G18" s="15" t="n">
        <x:v>180</x:v>
      </x:c>
      <x:c r="H18" s="15" t="n">
        <x:v>350</x:v>
      </x:c>
      <x:c r="I18" s="15" t="n">
        <x:f>E18*G18</x:f>
        <x:v>180</x:v>
      </x:c>
      <x:c r="J18" s="14" t="str">
        <x:v>保证外观看不到机械件</x:v>
      </x:c>
      <x:c r="K18" s="14"/>
    </x:row>
    <x:row r="19">
      <x:c r="A19" s="14" t="n">
        <x:v>18</x:v>
      </x:c>
      <x:c r="B19" s="14" t="str">
        <x:v>备件</x:v>
      </x:c>
      <x:c r="C19" s="14" t="str">
        <x:v>舵机和易损件备份</x:v>
      </x:c>
      <x:c r="D19" s="14" t="str">
        <x:v>约 20% 备件</x:v>
      </x:c>
      <x:c r="E19" s="14" t="n">
        <x:v>1</x:v>
      </x:c>
      <x:c r="F19" s="15" t="n">
        <x:v>150</x:v>
      </x:c>
      <x:c r="G19" s="15" t="n">
        <x:v>300</x:v>
      </x:c>
      <x:c r="H19" s="15" t="n">
        <x:v>600</x:v>
      </x:c>
      <x:c r="I19" s="15" t="n">
        <x:f>E19*G19</x:f>
        <x:v>300</x:v>
      </x:c>
      <x:c r="J19" s="14" t="str">
        <x:v>单台 Demo 强烈建议备份</x:v>
      </x:c>
      <x:c r="K19" s="14"/>
    </x:row>
    <x:row r="20">
      <x:c r="A20" s="14" t="n">
        <x:v>19</x:v>
      </x:c>
      <x:c r="B20" s="14" t="str">
        <x:v>展示</x:v>
      </x:c>
      <x:c r="C20" s="14" t="str">
        <x:v>桌面展台 / 亚克力底座</x:v>
      </x:c>
      <x:c r="D20" s="14" t="str">
        <x:v>遮挡电源线、固定姿态</x:v>
      </x:c>
      <x:c r="E20" s="14" t="n">
        <x:v>1</x:v>
      </x:c>
      <x:c r="F20" s="15" t="n">
        <x:v>80</x:v>
      </x:c>
      <x:c r="G20" s="15" t="n">
        <x:v>180</x:v>
      </x:c>
      <x:c r="H20" s="15" t="n">
        <x:v>400</x:v>
      </x:c>
      <x:c r="I20" s="15" t="n">
        <x:f>E20*G20</x:f>
        <x:v>180</x:v>
      </x:c>
      <x:c r="J20" s="14" t="str">
        <x:v>投资人演示更稳</x:v>
      </x:c>
      <x:c r="K20" s="14"/>
    </x:row>
    <x:row r="21">
      <x:c r="A21" s="14" t="n">
        <x:v>20</x:v>
      </x:c>
      <x:c r="B21" s="14" t="str">
        <x:v>采购</x:v>
      </x:c>
      <x:c r="C21" s="14" t="str">
        <x:v>运费 / 多供应商采购</x:v>
      </x:c>
      <x:c r="D21" s="14" t="str">
        <x:v>快递、补件、加急</x:v>
      </x:c>
      <x:c r="E21" s="14" t="n">
        <x:v>1</x:v>
      </x:c>
      <x:c r="F21" s="15" t="n">
        <x:v>100</x:v>
      </x:c>
      <x:c r="G21" s="15" t="n">
        <x:v>250</x:v>
      </x:c>
      <x:c r="H21" s="15" t="n">
        <x:v>500</x:v>
      </x:c>
      <x:c r="I21" s="15" t="n">
        <x:f>E21*G21</x:f>
        <x:v>250</x:v>
      </x:c>
      <x:c r="J21" s="14" t="str">
        <x:v>打样期不可忽略</x:v>
      </x:c>
      <x:c r="K21" s="14"/>
    </x:row>
    <x:row r="22">
      <x:c r="A22" s="14"/>
      <x:c r="B22" s="14"/>
      <x:c r="C22" s="14"/>
      <x:c r="D22" s="14"/>
      <x:c r="E22" s="14"/>
      <x:c r="F22" s="15"/>
      <x:c r="G22" s="15"/>
      <x:c r="H22" s="15"/>
      <x:c r="I22" s="15"/>
      <x:c r="J22" s="14"/>
      <x:c r="K22" s="14"/>
    </x:row>
    <x:row r="23">
      <x:c r="A23" s="14" t="str"/>
      <x:c r="B23" s="14" t="str"/>
      <x:c r="C23" s="14" t="str">
        <x:v>硬件物料小计</x:v>
      </x:c>
      <x:c r="D23" s="14" t="str"/>
      <x:c r="E23" s="14" t="str"/>
      <x:c r="F23" s="15" t="n">
        <x:f>SUMPRODUCT(E2:E21,F2:F21)</x:f>
        <x:v>1471</x:v>
      </x:c>
      <x:c r="G23" s="15" t="n">
        <x:f>SUMPRODUCT(E2:E21,G2:G21)</x:f>
        <x:v>2915</x:v>
      </x:c>
      <x:c r="H23" s="15" t="n">
        <x:f>SUMPRODUCT(E2:E21,H2:H21)</x:f>
        <x:v>5645</x:v>
      </x:c>
      <x:c r="I23" s="15" t="n">
        <x:f>SUM(I2:I21)</x:f>
        <x:v>2915</x:v>
      </x:c>
      <x:c r="J23" s="14"/>
      <x:c r="K23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1.25" hidden="0" customWidth="1"/>
    <x:col min="3" max="3" width="22.5" hidden="0" customWidth="1"/>
    <x:col min="4" max="4" width="32.5" hidden="0" customWidth="1"/>
    <x:col min="5" max="5" width="11.25" hidden="0" customWidth="1"/>
    <x:col min="6" max="6" width="11.25" hidden="0" customWidth="1"/>
    <x:col min="7" max="7" width="11.25" hidden="0" customWidth="1"/>
    <x:col min="8" max="8" width="8.75" hidden="0" customWidth="1"/>
    <x:col min="9" max="9" width="35" hidden="0" customWidth="1"/>
  </x:cols>
  <x:sheetData>
    <x:row r="1">
      <x:c r="A1" s="13" t="str">
        <x:v>编号</x:v>
      </x:c>
      <x:c r="B1" s="13" t="str">
        <x:v>类别</x:v>
      </x:c>
      <x:c r="C1" s="13" t="str">
        <x:v>工作项</x:v>
      </x:c>
      <x:c r="D1" s="13" t="str">
        <x:v>内容</x:v>
      </x:c>
      <x:c r="E1" s="13" t="str">
        <x:v>低</x:v>
      </x:c>
      <x:c r="F1" s="13" t="str">
        <x:v>建议</x:v>
      </x:c>
      <x:c r="G1" s="13" t="str">
        <x:v>高</x:v>
      </x:c>
      <x:c r="H1" s="13" t="str">
        <x:v>必须</x:v>
      </x:c>
      <x:c r="I1" s="13" t="str">
        <x:v>说明</x:v>
      </x:c>
    </x:row>
    <x:row r="2">
      <x:c r="A2" s="14" t="n">
        <x:v>21</x:v>
      </x:c>
      <x:c r="B2" s="14" t="str">
        <x:v>结构</x:v>
      </x:c>
      <x:c r="C2" s="14" t="str">
        <x:v>眼部机构装配与返工</x:v>
      </x:c>
      <x:c r="D2" s="14" t="str">
        <x:v>打印、修件、装舵机、眼皮标定</x:v>
      </x:c>
      <x:c r="E2" s="15" t="n">
        <x:v>800</x:v>
      </x:c>
      <x:c r="F2" s="15" t="n">
        <x:v>1500</x:v>
      </x:c>
      <x:c r="G2" s="15" t="n">
        <x:v>3000</x:v>
      </x:c>
      <x:c r="H2" s="14" t="str">
        <x:v>是</x:v>
      </x:c>
      <x:c r="I2" s="14" t="str">
        <x:v>眼部是最大亮点，也最容易返工</x:v>
      </x:c>
    </x:row>
    <x:row r="3">
      <x:c r="A3" s="14" t="n">
        <x:v>22</x:v>
      </x:c>
      <x:c r="B3" s="14" t="str">
        <x:v>结构</x:v>
      </x:c>
      <x:c r="C3" s="14" t="str">
        <x:v>毛绒外壳改造与内骨架安装</x:v>
      </x:c>
      <x:c r="D3" s="14" t="str">
        <x:v>开背、掏空、支架固定、外观复原</x:v>
      </x:c>
      <x:c r="E3" s="15" t="n">
        <x:v>1500</x:v>
      </x:c>
      <x:c r="F3" s="15" t="n">
        <x:v>3000</x:v>
      </x:c>
      <x:c r="G3" s="15" t="n">
        <x:v>6000</x:v>
      </x:c>
      <x:c r="H3" s="14" t="str">
        <x:v>是</x:v>
      </x:c>
      <x:c r="I3" s="14" t="str">
        <x:v>影响最终展示质感</x:v>
      </x:c>
    </x:row>
    <x:row r="4">
      <x:c r="A4" s="14" t="n">
        <x:v>23</x:v>
      </x:c>
      <x:c r="B4" s="14" t="str">
        <x:v>电子</x:v>
      </x:c>
      <x:c r="C4" s="14" t="str">
        <x:v>焊接、布线与电源联调</x:v>
      </x:c>
      <x:c r="D4" s="14" t="str">
        <x:v>主控、PCA9685、舵机、电源共地</x:v>
      </x:c>
      <x:c r="E4" s="15" t="n">
        <x:v>800</x:v>
      </x:c>
      <x:c r="F4" s="15" t="n">
        <x:v>1600</x:v>
      </x:c>
      <x:c r="G4" s="15" t="n">
        <x:v>3000</x:v>
      </x:c>
      <x:c r="H4" s="14" t="str">
        <x:v>是</x:v>
      </x:c>
      <x:c r="I4" s="14" t="str">
        <x:v>单台样机线束整理耗时</x:v>
      </x:c>
    </x:row>
    <x:row r="5">
      <x:c r="A5" s="14" t="n">
        <x:v>24</x:v>
      </x:c>
      <x:c r="B5" s="14" t="str">
        <x:v>动作</x:v>
      </x:c>
      <x:c r="C5" s="14" t="str">
        <x:v>舵机标定与动作脚本</x:v>
      </x:c>
      <x:c r="D5" s="14" t="str">
        <x:v>blink、nod、look、wave、idle</x:v>
      </x:c>
      <x:c r="E5" s="15" t="n">
        <x:v>1800</x:v>
      </x:c>
      <x:c r="F5" s="15" t="n">
        <x:v>3500</x:v>
      </x:c>
      <x:c r="G5" s="15" t="n">
        <x:v>7000</x:v>
      </x:c>
      <x:c r="H5" s="14" t="str">
        <x:v>是</x:v>
      </x:c>
      <x:c r="I5" s="14" t="str">
        <x:v>生命感主要来自调动作</x:v>
      </x:c>
    </x:row>
    <x:row r="6">
      <x:c r="A6" s="14" t="n">
        <x:v>25</x:v>
      </x:c>
      <x:c r="B6" s="14" t="str">
        <x:v>软件</x:v>
      </x:c>
      <x:c r="C6" s="14" t="str">
        <x:v>小智固件 / 语音 / 大模型联动</x:v>
      </x:c>
      <x:c r="D6" s="14" t="str">
        <x:v>人设 Prompt、MCP、预置语音兜底</x:v>
      </x:c>
      <x:c r="E6" s="15" t="n">
        <x:v>1500</x:v>
      </x:c>
      <x:c r="F6" s="15" t="n">
        <x:v>3000</x:v>
      </x:c>
      <x:c r="G6" s="15" t="n">
        <x:v>6000</x:v>
      </x:c>
      <x:c r="H6" s="14" t="str">
        <x:v>推荐</x:v>
      </x:c>
      <x:c r="I6" s="14" t="str">
        <x:v>若只做离线预置语音可降低</x:v>
      </x:c>
    </x:row>
    <x:row r="7">
      <x:c r="A7" s="14" t="n">
        <x:v>26</x:v>
      </x:c>
      <x:c r="B7" s="14" t="str">
        <x:v>演示</x:v>
      </x:c>
      <x:c r="C7" s="14" t="str">
        <x:v>Demo 视频、脚本、遥控兜底</x:v>
      </x:c>
      <x:c r="D7" s="14" t="str">
        <x:v>30 秒流程、拍摄、备用触发方案</x:v>
      </x:c>
      <x:c r="E7" s="15" t="n">
        <x:v>1000</x:v>
      </x:c>
      <x:c r="F7" s="15" t="n">
        <x:v>2500</x:v>
      </x:c>
      <x:c r="G7" s="15" t="n">
        <x:v>5000</x:v>
      </x:c>
      <x:c r="H7" s="14" t="str">
        <x:v>推荐</x:v>
      </x:c>
      <x:c r="I7" s="14" t="str">
        <x:v>防现场网络或硬件翻车</x:v>
      </x:c>
    </x:row>
    <x:row r="8">
      <x:c r="A8" s="14" t="n">
        <x:v>27</x:v>
      </x:c>
      <x:c r="B8" s="14" t="str">
        <x:v>管理</x:v>
      </x:c>
      <x:c r="C8" s="14" t="str">
        <x:v>采购沟通、返修、二次装配</x:v>
      </x:c>
      <x:c r="D8" s="14" t="str">
        <x:v>供应商、补件、版本记录</x:v>
      </x:c>
      <x:c r="E8" s="15" t="n">
        <x:v>1000</x:v>
      </x:c>
      <x:c r="F8" s="15" t="n">
        <x:v>2000</x:v>
      </x:c>
      <x:c r="G8" s="15" t="n">
        <x:v>4000</x:v>
      </x:c>
      <x:c r="H8" s="14" t="str">
        <x:v>推荐</x:v>
      </x:c>
      <x:c r="I8" s="14" t="str">
        <x:v>首台样机通常会反复调整</x:v>
      </x:c>
    </x:row>
    <x:row r="9">
      <x:c r="A9" s="14"/>
      <x:c r="B9" s="14"/>
      <x:c r="C9" s="14"/>
      <x:c r="D9" s="14"/>
      <x:c r="E9" s="15"/>
      <x:c r="F9" s="15"/>
      <x:c r="G9" s="15"/>
      <x:c r="H9" s="14"/>
      <x:c r="I9" s="14"/>
    </x:row>
    <x:row r="10">
      <x:c r="A10" s="14" t="str"/>
      <x:c r="B10" s="14" t="str"/>
      <x:c r="C10" s="14" t="str">
        <x:v>工程与调试小计</x:v>
      </x:c>
      <x:c r="D10" s="14" t="str"/>
      <x:c r="E10" s="15" t="n">
        <x:f>SUM(E2:E8)</x:f>
        <x:v>8400</x:v>
      </x:c>
      <x:c r="F10" s="15" t="n">
        <x:f>SUM(F2:F8)</x:f>
        <x:v>17100</x:v>
      </x:c>
      <x:c r="G10" s="15" t="n">
        <x:f>SUM(G2:G8)</x:f>
        <x:v>34000</x:v>
      </x:c>
      <x:c r="H10" s="14"/>
      <x:c r="I1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1.25" hidden="0" customWidth="1"/>
    <x:col min="3" max="3" width="11.25" hidden="0" customWidth="1"/>
    <x:col min="4" max="4" width="45" hidden="0" customWidth="1"/>
  </x:cols>
  <x:sheetData>
    <x:row r="1">
      <x:c r="A1" s="13" t="str">
        <x:v>升级项</x:v>
      </x:c>
      <x:c r="B1" s="13" t="str">
        <x:v>低</x:v>
      </x:c>
      <x:c r="C1" s="13" t="str">
        <x:v>高</x:v>
      </x:c>
      <x:c r="D1" s="13" t="str">
        <x:v>何时需要</x:v>
      </x:c>
    </x:row>
    <x:row r="2">
      <x:c r="A2" s="14" t="str">
        <x:v>电池供电 + 充电管理</x:v>
      </x:c>
      <x:c r="B2" s="15" t="n">
        <x:v>200</x:v>
      </x:c>
      <x:c r="C2" s="15" t="n">
        <x:v>800</x:v>
      </x:c>
      <x:c r="D2" s="14" t="str">
        <x:v>需要无电源线展示时</x:v>
      </x:c>
    </x:row>
    <x:row r="3">
      <x:c r="A3" s="14" t="str">
        <x:v>摄像头 / 人脸方向感知</x:v>
      </x:c>
      <x:c r="B3" s="15" t="n">
        <x:v>100</x:v>
      </x:c>
      <x:c r="C3" s="15" t="n">
        <x:v>500</x:v>
      </x:c>
      <x:c r="D3" s="14" t="str">
        <x:v>需要“看向人”的视觉能力</x:v>
      </x:c>
    </x:row>
    <x:row r="4">
      <x:c r="A4" s="14" t="str">
        <x:v>总线舵机升级</x:v>
      </x:c>
      <x:c r="B4" s="15" t="n">
        <x:v>500</x:v>
      </x:c>
      <x:c r="C4" s="15" t="n">
        <x:v>2000</x:v>
      </x:c>
      <x:c r="D4" s="14" t="str">
        <x:v>需要位置反馈、减少线束、提高稳定性</x:v>
      </x:c>
    </x:row>
    <x:row r="5">
      <x:c r="A5" s="14" t="str">
        <x:v>定制毛绒外皮</x:v>
      </x:c>
      <x:c r="B5" s="15" t="n">
        <x:v>2000</x:v>
      </x:c>
      <x:c r="C5" s="15" t="n">
        <x:v>10000</x:v>
      </x:c>
      <x:c r="D5" s="14" t="str">
        <x:v>需要更接近花花比例与商业展示质感</x:v>
      </x:c>
    </x:row>
    <x:row r="6">
      <x:c r="A6" s="14" t="str">
        <x:v>专属音色 / TTS 定制</x:v>
      </x:c>
      <x:c r="B6" s="15" t="n">
        <x:v>500</x:v>
      </x:c>
      <x:c r="C6" s="15" t="n">
        <x:v>5000</x:v>
      </x:c>
      <x:c r="D6" s="14" t="str">
        <x:v>需要品牌化声音</x:v>
      </x:c>
    </x:row>
    <x:row r="7">
      <x:c r="A7" s="14" t="str">
        <x:v>小智自建后端</x:v>
      </x:c>
      <x:c r="B7" s="15" t="n">
        <x:v>0</x:v>
      </x:c>
      <x:c r="C7" s="15" t="n">
        <x:v>3000</x:v>
      </x:c>
      <x:c r="D7" s="14" t="str">
        <x:v>需要可控人设、记忆和私有部署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95" hidden="0" customWidth="1"/>
  </x:cols>
  <x:sheetData>
    <x:row r="1">
      <x:c r="A1" s="13" t="str">
        <x:v>项目</x:v>
      </x:c>
      <x:c r="B1" s="13" t="str">
        <x:v>说明</x:v>
      </x:c>
    </x:row>
    <x:row r="2">
      <x:c r="A2" s="14" t="str">
        <x:v>样机定位</x:v>
      </x:c>
      <x:c r="B2" s="14" t="str">
        <x:v>初期 Demo PoC，不是量产 BOM，也不是最终售价测算。</x:v>
      </x:c>
    </x:row>
    <x:row r="3">
      <x:c r="A3" s="14" t="str">
        <x:v>样机尺寸</x:v>
      </x:c>
      <x:c r="B3" s="14" t="str">
        <x:v>桌面级 / 中小型展台样机，约 45-60cm 毛绒熊猫。</x:v>
      </x:c>
    </x:row>
    <x:row r="4">
      <x:c r="A4" s="14" t="str">
        <x:v>动作范围</x:v>
      </x:c>
      <x:c r="B4" s="14" t="str">
        <x:v>眼部 6 舵机、头部 2 舵机、前肢 1-2 舵机；下肢不动。</x:v>
      </x:c>
    </x:row>
    <x:row r="5">
      <x:c r="A5" s="14" t="str">
        <x:v>触摸范围</x:v>
      </x:c>
      <x:c r="B5" s="14" t="str">
        <x:v>只做头部触摸。</x:v>
      </x:c>
    </x:row>
    <x:row r="6">
      <x:c r="A6" s="14" t="str">
        <x:v>语音范围</x:v>
      </x:c>
      <x:c r="B6" s="14" t="str">
        <x:v>预置语音播放为主，小智大模型对话作为增强项。</x:v>
      </x:c>
    </x:row>
    <x:row r="7">
      <x:c r="A7" s="14" t="str">
        <x:v>供电</x:v>
      </x:c>
      <x:c r="B7" s="14" t="str">
        <x:v>Demo 阶段优先外接 USB / DC 电源，不先做电池。</x:v>
      </x:c>
    </x:row>
    <x:row r="8">
      <x:c r="A8" s="14" t="str">
        <x:v>报价口径</x:v>
      </x:c>
      <x:c r="B8" s="14" t="str">
        <x:v>建议投资人预算写 30,000 元/台，含 15%-25% 风险余量，不含 IP 授权、量产开模、正式认证。</x:v>
      </x:c>
    </x:row>
    <x:row r="9">
      <x:c r="A9" s="14" t="str">
        <x:v>来源 1</x:v>
      </x:c>
      <x:c r="B9" s="14" t="str">
        <x:v>项目 PRD：panda-huahua-robot/docs/biomimetic-panda-robot-prd.md</x:v>
      </x:c>
    </x:row>
    <x:row r="10">
      <x:c r="A10" s="14" t="str">
        <x:v>来源 2</x:v>
      </x:c>
      <x:c r="B10" s="14" t="str">
        <x:v>项目技术路线：panda-huahua-robot/dev/开发者技术路线与排期.md</x:v>
      </x:c>
    </x:row>
    <x:row r="11">
      <x:c r="A11" s="14" t="str">
        <x:v>来源 3</x:v>
      </x:c>
      <x:c r="B11" s="14" t="str">
        <x:v>小智 xiaozhi-esp32：https://github.com/78/xiaozhi-esp32</x:v>
      </x:c>
    </x:row>
    <x:row r="12">
      <x:c r="A12" s="14" t="str">
        <x:v>来源 4</x:v>
      </x:c>
      <x:c r="B12" s="14" t="str">
        <x:v>Adafruit PCA9685：https://www.adafruit.com/product/815</x:v>
      </x:c>
    </x:row>
    <x:row r="13">
      <x:c r="A13" s="14" t="str">
        <x:v>来源 5</x:v>
      </x:c>
      <x:c r="B13" s="14" t="str">
        <x:v>Will Cogley 仿生眼：http://www.kevsrobots.com/blog/eyemech.html</x:v>
      </x:c>
    </x:row>
    <x:row r="14">
      <x:c r="A14" s="14" t="str">
        <x:v>价格说明</x:v>
      </x:c>
      <x:c r="B14" s="14" t="str">
        <x:v>价格为 2026-06-10 前期估算，实际采购以淘宝、1688、立创商城、嘉立创 3D 打印或本地供应商报价为准。</x:v>
      </x:c>
    </x:row>
  </x:sheetData>
  <x:pageMargins left="0.7" right="0.7" top="0.75" bottom="0.75" header="0.3" footer="0.3"/>
</x:worksheet>
</file>